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745ca51fa232a18/Desktop/Data Engineering/"/>
    </mc:Choice>
  </mc:AlternateContent>
  <xr:revisionPtr revIDLastSave="7" documentId="8_{6D4B68E0-7818-44F5-B17C-E64B12A6ED14}" xr6:coauthVersionLast="47" xr6:coauthVersionMax="47" xr10:uidLastSave="{62D8DF02-F317-42B8-AD98-0E34D0C63897}"/>
  <bookViews>
    <workbookView xWindow="-108" yWindow="-108" windowWidth="23256" windowHeight="12456" activeTab="1" xr2:uid="{CC598737-665E-4FD9-B8B6-079BF483C610}"/>
  </bookViews>
  <sheets>
    <sheet name="Pivote table " sheetId="3" r:id="rId1"/>
    <sheet name="Dashboards" sheetId="4" r:id="rId2"/>
    <sheet name="Raw" sheetId="1" r:id="rId3"/>
    <sheet name="Prediction " sheetId="6" r:id="rId4"/>
  </sheets>
  <definedNames>
    <definedName name="Slicer_Month">#N/A</definedName>
  </definedNames>
  <calcPr calcId="191029"/>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2" i="1"/>
  <c r="D22" i="1"/>
  <c r="B19" i="1"/>
  <c r="D19" i="1"/>
  <c r="D16" i="1"/>
  <c r="C16" i="1"/>
  <c r="B16" i="1"/>
</calcChain>
</file>

<file path=xl/sharedStrings.xml><?xml version="1.0" encoding="utf-8"?>
<sst xmlns="http://schemas.openxmlformats.org/spreadsheetml/2006/main" count="44" uniqueCount="32">
  <si>
    <t>Month</t>
  </si>
  <si>
    <t>Revenue</t>
  </si>
  <si>
    <t>Expenses</t>
  </si>
  <si>
    <t>Profit</t>
  </si>
  <si>
    <t>Marketing Expense</t>
  </si>
  <si>
    <t>Salary Expense</t>
  </si>
  <si>
    <t>Operational Expense</t>
  </si>
  <si>
    <t>Jan</t>
  </si>
  <si>
    <t>Feb</t>
  </si>
  <si>
    <t>Mar</t>
  </si>
  <si>
    <t>Apr</t>
  </si>
  <si>
    <t>May</t>
  </si>
  <si>
    <t>Jun</t>
  </si>
  <si>
    <t>Jul</t>
  </si>
  <si>
    <t>Aug</t>
  </si>
  <si>
    <t>Sep</t>
  </si>
  <si>
    <t>Oct</t>
  </si>
  <si>
    <t>Nov</t>
  </si>
  <si>
    <t>Dec</t>
  </si>
  <si>
    <t>total revenue</t>
  </si>
  <si>
    <t>total expenses</t>
  </si>
  <si>
    <t xml:space="preserve">total profit </t>
  </si>
  <si>
    <t>avg monthly profit</t>
  </si>
  <si>
    <t>Highest Revenue</t>
  </si>
  <si>
    <t>Lowest Profit</t>
  </si>
  <si>
    <t>Profit Margin %</t>
  </si>
  <si>
    <t>Row Labels</t>
  </si>
  <si>
    <t>Grand Total</t>
  </si>
  <si>
    <t>Sum of Revenue</t>
  </si>
  <si>
    <t>Sum of Expenses</t>
  </si>
  <si>
    <t>Sum of Profit</t>
  </si>
  <si>
    <t xml:space="preserve">Financial Analysis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</si>
</sst>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8"/>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0" borderId="1" xfId="0" applyBorder="1" applyAlignment="1">
      <alignment horizontal="center"/>
    </xf>
    <xf numFmtId="0" fontId="1" fillId="0" borderId="1" xfId="0"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1" fillId="0" borderId="2" xfId="0" applyFont="1" applyBorder="1" applyAlignment="1">
      <alignment horizontal="center"/>
    </xf>
    <xf numFmtId="0" fontId="0" fillId="0" borderId="0" xfId="0" pivotButton="1"/>
    <xf numFmtId="0" fontId="0" fillId="0" borderId="0" xfId="0" applyAlignment="1">
      <alignment horizontal="lef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 Revenue Overview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Raw!$B$1</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Raw!$B$2:$B$13</c:f>
              <c:numCache>
                <c:formatCode>General</c:formatCode>
                <c:ptCount val="12"/>
                <c:pt idx="0">
                  <c:v>120000</c:v>
                </c:pt>
                <c:pt idx="1">
                  <c:v>135000</c:v>
                </c:pt>
                <c:pt idx="2">
                  <c:v>150000</c:v>
                </c:pt>
                <c:pt idx="3">
                  <c:v>142000</c:v>
                </c:pt>
                <c:pt idx="4">
                  <c:v>160000</c:v>
                </c:pt>
                <c:pt idx="5">
                  <c:v>175000</c:v>
                </c:pt>
                <c:pt idx="6">
                  <c:v>168000</c:v>
                </c:pt>
                <c:pt idx="7">
                  <c:v>182000</c:v>
                </c:pt>
                <c:pt idx="8">
                  <c:v>190000</c:v>
                </c:pt>
                <c:pt idx="9">
                  <c:v>210000</c:v>
                </c:pt>
                <c:pt idx="10">
                  <c:v>225000</c:v>
                </c:pt>
                <c:pt idx="11">
                  <c:v>240000</c:v>
                </c:pt>
              </c:numCache>
            </c:numRef>
          </c:val>
          <c:smooth val="0"/>
          <c:extLst>
            <c:ext xmlns:c16="http://schemas.microsoft.com/office/drawing/2014/chart" uri="{C3380CC4-5D6E-409C-BE32-E72D297353CC}">
              <c16:uniqueId val="{00000000-D993-4339-8380-721512DE6D6F}"/>
            </c:ext>
          </c:extLst>
        </c:ser>
        <c:dLbls>
          <c:dLblPos val="ctr"/>
          <c:showLegendKey val="0"/>
          <c:showVal val="1"/>
          <c:showCatName val="0"/>
          <c:showSerName val="0"/>
          <c:showPercent val="0"/>
          <c:showBubbleSize val="0"/>
        </c:dLbls>
        <c:marker val="1"/>
        <c:smooth val="0"/>
        <c:axId val="1348123151"/>
        <c:axId val="1348122191"/>
      </c:lineChart>
      <c:catAx>
        <c:axId val="134812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22191"/>
        <c:crosses val="autoZero"/>
        <c:auto val="1"/>
        <c:lblAlgn val="ctr"/>
        <c:lblOffset val="100"/>
        <c:noMultiLvlLbl val="0"/>
      </c:catAx>
      <c:valAx>
        <c:axId val="134812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2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Expense Breakdown Chart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Raw!$E$1</c:f>
              <c:strCache>
                <c:ptCount val="1"/>
                <c:pt idx="0">
                  <c:v>Marketing Expense</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val>
            <c:numRef>
              <c:f>Raw!$E$2:$E$13</c:f>
              <c:numCache>
                <c:formatCode>General</c:formatCode>
                <c:ptCount val="12"/>
                <c:pt idx="0">
                  <c:v>15000</c:v>
                </c:pt>
                <c:pt idx="1">
                  <c:v>18000</c:v>
                </c:pt>
                <c:pt idx="2">
                  <c:v>20000</c:v>
                </c:pt>
                <c:pt idx="3">
                  <c:v>17000</c:v>
                </c:pt>
                <c:pt idx="4">
                  <c:v>22000</c:v>
                </c:pt>
                <c:pt idx="5">
                  <c:v>25000</c:v>
                </c:pt>
                <c:pt idx="6">
                  <c:v>23000</c:v>
                </c:pt>
                <c:pt idx="7">
                  <c:v>26000</c:v>
                </c:pt>
                <c:pt idx="8">
                  <c:v>27000</c:v>
                </c:pt>
                <c:pt idx="9">
                  <c:v>30000</c:v>
                </c:pt>
                <c:pt idx="10">
                  <c:v>32000</c:v>
                </c:pt>
                <c:pt idx="11">
                  <c:v>35000</c:v>
                </c:pt>
              </c:numCache>
            </c:numRef>
          </c:val>
          <c:extLst>
            <c:ext xmlns:c16="http://schemas.microsoft.com/office/drawing/2014/chart" uri="{C3380CC4-5D6E-409C-BE32-E72D297353CC}">
              <c16:uniqueId val="{00000000-3D05-40C9-91E3-C510FDEC769B}"/>
            </c:ext>
          </c:extLst>
        </c:ser>
        <c:ser>
          <c:idx val="1"/>
          <c:order val="1"/>
          <c:tx>
            <c:strRef>
              <c:f>Raw!$F$1</c:f>
              <c:strCache>
                <c:ptCount val="1"/>
                <c:pt idx="0">
                  <c:v>Salary Expense</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val>
            <c:numRef>
              <c:f>Raw!$F$2:$F$13</c:f>
              <c:numCache>
                <c:formatCode>General</c:formatCode>
                <c:ptCount val="12"/>
                <c:pt idx="0">
                  <c:v>50000</c:v>
                </c:pt>
                <c:pt idx="1">
                  <c:v>52000</c:v>
                </c:pt>
                <c:pt idx="2">
                  <c:v>55000</c:v>
                </c:pt>
                <c:pt idx="3">
                  <c:v>54000</c:v>
                </c:pt>
                <c:pt idx="4">
                  <c:v>58000</c:v>
                </c:pt>
                <c:pt idx="5">
                  <c:v>60000</c:v>
                </c:pt>
                <c:pt idx="6">
                  <c:v>59000</c:v>
                </c:pt>
                <c:pt idx="7">
                  <c:v>61000</c:v>
                </c:pt>
                <c:pt idx="8">
                  <c:v>62000</c:v>
                </c:pt>
                <c:pt idx="9">
                  <c:v>65000</c:v>
                </c:pt>
                <c:pt idx="10">
                  <c:v>68000</c:v>
                </c:pt>
                <c:pt idx="11">
                  <c:v>70000</c:v>
                </c:pt>
              </c:numCache>
            </c:numRef>
          </c:val>
          <c:extLst>
            <c:ext xmlns:c16="http://schemas.microsoft.com/office/drawing/2014/chart" uri="{C3380CC4-5D6E-409C-BE32-E72D297353CC}">
              <c16:uniqueId val="{00000001-3D05-40C9-91E3-C510FDEC769B}"/>
            </c:ext>
          </c:extLst>
        </c:ser>
        <c:ser>
          <c:idx val="2"/>
          <c:order val="2"/>
          <c:tx>
            <c:strRef>
              <c:f>Raw!$G$1</c:f>
              <c:strCache>
                <c:ptCount val="1"/>
                <c:pt idx="0">
                  <c:v>Operational Expense</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val>
            <c:numRef>
              <c:f>Raw!$G$2:$G$13</c:f>
              <c:numCache>
                <c:formatCode>General</c:formatCode>
                <c:ptCount val="12"/>
                <c:pt idx="0">
                  <c:v>20000</c:v>
                </c:pt>
                <c:pt idx="1">
                  <c:v>22000</c:v>
                </c:pt>
                <c:pt idx="2">
                  <c:v>23000</c:v>
                </c:pt>
                <c:pt idx="3">
                  <c:v>24000</c:v>
                </c:pt>
                <c:pt idx="4">
                  <c:v>25000</c:v>
                </c:pt>
                <c:pt idx="5">
                  <c:v>27000</c:v>
                </c:pt>
                <c:pt idx="6">
                  <c:v>28000</c:v>
                </c:pt>
                <c:pt idx="7">
                  <c:v>31000</c:v>
                </c:pt>
                <c:pt idx="8">
                  <c:v>32000</c:v>
                </c:pt>
                <c:pt idx="9">
                  <c:v>35000</c:v>
                </c:pt>
                <c:pt idx="10">
                  <c:v>38000</c:v>
                </c:pt>
                <c:pt idx="11">
                  <c:v>40000</c:v>
                </c:pt>
              </c:numCache>
            </c:numRef>
          </c:val>
          <c:extLst>
            <c:ext xmlns:c16="http://schemas.microsoft.com/office/drawing/2014/chart" uri="{C3380CC4-5D6E-409C-BE32-E72D297353CC}">
              <c16:uniqueId val="{00000002-3D05-40C9-91E3-C510FDEC769B}"/>
            </c:ext>
          </c:extLst>
        </c:ser>
        <c:dLbls>
          <c:showLegendKey val="0"/>
          <c:showVal val="0"/>
          <c:showCatName val="0"/>
          <c:showSerName val="0"/>
          <c:showPercent val="0"/>
          <c:showBubbleSize val="0"/>
        </c:dLbls>
        <c:gapWidth val="150"/>
        <c:shape val="box"/>
        <c:axId val="1742194495"/>
        <c:axId val="1742194975"/>
        <c:axId val="0"/>
      </c:bar3DChart>
      <c:catAx>
        <c:axId val="1742194495"/>
        <c:scaling>
          <c:orientation val="minMax"/>
        </c:scaling>
        <c:delete val="0"/>
        <c:axPos val="b"/>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194975"/>
        <c:crosses val="autoZero"/>
        <c:auto val="1"/>
        <c:lblAlgn val="ctr"/>
        <c:lblOffset val="100"/>
        <c:noMultiLvlLbl val="0"/>
      </c:catAx>
      <c:valAx>
        <c:axId val="174219497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1944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vs Expenses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Raw!$B$1</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Raw!$A$2:$A$13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Raw!$B$2:$B$13</c:f>
              <c:numCache>
                <c:formatCode>General</c:formatCode>
                <c:ptCount val="12"/>
                <c:pt idx="0">
                  <c:v>120000</c:v>
                </c:pt>
                <c:pt idx="1">
                  <c:v>135000</c:v>
                </c:pt>
                <c:pt idx="2">
                  <c:v>150000</c:v>
                </c:pt>
                <c:pt idx="3">
                  <c:v>142000</c:v>
                </c:pt>
                <c:pt idx="4">
                  <c:v>160000</c:v>
                </c:pt>
                <c:pt idx="5">
                  <c:v>175000</c:v>
                </c:pt>
                <c:pt idx="6">
                  <c:v>168000</c:v>
                </c:pt>
                <c:pt idx="7">
                  <c:v>182000</c:v>
                </c:pt>
                <c:pt idx="8">
                  <c:v>190000</c:v>
                </c:pt>
                <c:pt idx="9">
                  <c:v>210000</c:v>
                </c:pt>
                <c:pt idx="10">
                  <c:v>225000</c:v>
                </c:pt>
                <c:pt idx="11">
                  <c:v>240000</c:v>
                </c:pt>
              </c:numCache>
            </c:numRef>
          </c:val>
          <c:extLst>
            <c:ext xmlns:c16="http://schemas.microsoft.com/office/drawing/2014/chart" uri="{C3380CC4-5D6E-409C-BE32-E72D297353CC}">
              <c16:uniqueId val="{00000000-A281-477C-883E-5A9113675BD4}"/>
            </c:ext>
          </c:extLst>
        </c:ser>
        <c:dLbls>
          <c:showLegendKey val="0"/>
          <c:showVal val="0"/>
          <c:showCatName val="0"/>
          <c:showSerName val="0"/>
          <c:showPercent val="0"/>
          <c:showBubbleSize val="0"/>
        </c:dLbls>
        <c:gapWidth val="150"/>
        <c:axId val="1742228575"/>
        <c:axId val="1742229055"/>
      </c:barChart>
      <c:lineChart>
        <c:grouping val="standard"/>
        <c:varyColors val="0"/>
        <c:ser>
          <c:idx val="1"/>
          <c:order val="1"/>
          <c:tx>
            <c:strRef>
              <c:f>Raw!$C$1</c:f>
              <c:strCache>
                <c:ptCount val="1"/>
                <c:pt idx="0">
                  <c:v>Expenses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Raw!$A$2:$A$13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Raw!$C$2:$C$13</c:f>
              <c:numCache>
                <c:formatCode>General</c:formatCode>
                <c:ptCount val="12"/>
                <c:pt idx="0">
                  <c:v>85000</c:v>
                </c:pt>
                <c:pt idx="1">
                  <c:v>92000</c:v>
                </c:pt>
                <c:pt idx="2">
                  <c:v>98000</c:v>
                </c:pt>
                <c:pt idx="3">
                  <c:v>95000</c:v>
                </c:pt>
                <c:pt idx="4">
                  <c:v>105000</c:v>
                </c:pt>
                <c:pt idx="5">
                  <c:v>112000</c:v>
                </c:pt>
                <c:pt idx="6">
                  <c:v>110000</c:v>
                </c:pt>
                <c:pt idx="7">
                  <c:v>118000</c:v>
                </c:pt>
                <c:pt idx="8">
                  <c:v>121000</c:v>
                </c:pt>
                <c:pt idx="9">
                  <c:v>130000</c:v>
                </c:pt>
                <c:pt idx="10">
                  <c:v>138000</c:v>
                </c:pt>
                <c:pt idx="11">
                  <c:v>145000</c:v>
                </c:pt>
              </c:numCache>
            </c:numRef>
          </c:val>
          <c:smooth val="0"/>
          <c:extLst>
            <c:ext xmlns:c16="http://schemas.microsoft.com/office/drawing/2014/chart" uri="{C3380CC4-5D6E-409C-BE32-E72D297353CC}">
              <c16:uniqueId val="{00000001-A281-477C-883E-5A9113675BD4}"/>
            </c:ext>
          </c:extLst>
        </c:ser>
        <c:dLbls>
          <c:showLegendKey val="0"/>
          <c:showVal val="0"/>
          <c:showCatName val="0"/>
          <c:showSerName val="0"/>
          <c:showPercent val="0"/>
          <c:showBubbleSize val="0"/>
        </c:dLbls>
        <c:marker val="1"/>
        <c:smooth val="0"/>
        <c:axId val="1742228575"/>
        <c:axId val="1742229055"/>
      </c:lineChart>
      <c:catAx>
        <c:axId val="17422285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29055"/>
        <c:crosses val="autoZero"/>
        <c:auto val="1"/>
        <c:lblAlgn val="ctr"/>
        <c:lblOffset val="100"/>
        <c:noMultiLvlLbl val="0"/>
      </c:catAx>
      <c:valAx>
        <c:axId val="1742229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28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Raw!$D$1</c:f>
              <c:strCache>
                <c:ptCount val="1"/>
                <c:pt idx="0">
                  <c:v>Profit</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Raw!$A$2:$A$13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Raw!$D$2:$D$13</c:f>
              <c:numCache>
                <c:formatCode>General</c:formatCode>
                <c:ptCount val="12"/>
                <c:pt idx="0">
                  <c:v>35000</c:v>
                </c:pt>
                <c:pt idx="1">
                  <c:v>43000</c:v>
                </c:pt>
                <c:pt idx="2">
                  <c:v>52000</c:v>
                </c:pt>
                <c:pt idx="3">
                  <c:v>47000</c:v>
                </c:pt>
                <c:pt idx="4">
                  <c:v>55000</c:v>
                </c:pt>
                <c:pt idx="5">
                  <c:v>63000</c:v>
                </c:pt>
                <c:pt idx="6">
                  <c:v>58000</c:v>
                </c:pt>
                <c:pt idx="7">
                  <c:v>64000</c:v>
                </c:pt>
                <c:pt idx="8">
                  <c:v>69000</c:v>
                </c:pt>
                <c:pt idx="9">
                  <c:v>80000</c:v>
                </c:pt>
                <c:pt idx="10">
                  <c:v>87000</c:v>
                </c:pt>
                <c:pt idx="11">
                  <c:v>95000</c:v>
                </c:pt>
              </c:numCache>
            </c:numRef>
          </c:val>
          <c:extLst>
            <c:ext xmlns:c16="http://schemas.microsoft.com/office/drawing/2014/chart" uri="{C3380CC4-5D6E-409C-BE32-E72D297353CC}">
              <c16:uniqueId val="{00000000-3313-466F-93B1-FBA79DE1FA3A}"/>
            </c:ext>
          </c:extLst>
        </c:ser>
        <c:dLbls>
          <c:showLegendKey val="0"/>
          <c:showVal val="1"/>
          <c:showCatName val="0"/>
          <c:showSerName val="0"/>
          <c:showPercent val="0"/>
          <c:showBubbleSize val="0"/>
        </c:dLbls>
        <c:gapWidth val="150"/>
        <c:gapDepth val="0"/>
        <c:shape val="box"/>
        <c:axId val="1742204575"/>
        <c:axId val="1742201695"/>
        <c:axId val="1736177631"/>
      </c:bar3DChart>
      <c:catAx>
        <c:axId val="1742204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01695"/>
        <c:crosses val="autoZero"/>
        <c:auto val="1"/>
        <c:lblAlgn val="ctr"/>
        <c:lblOffset val="100"/>
        <c:noMultiLvlLbl val="0"/>
      </c:catAx>
      <c:valAx>
        <c:axId val="174220169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04575"/>
        <c:crosses val="autoZero"/>
        <c:crossBetween val="between"/>
      </c:valAx>
      <c:serAx>
        <c:axId val="1736177631"/>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20169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388620</xdr:colOff>
      <xdr:row>2</xdr:row>
      <xdr:rowOff>53340</xdr:rowOff>
    </xdr:from>
    <xdr:to>
      <xdr:col>8</xdr:col>
      <xdr:colOff>388620</xdr:colOff>
      <xdr:row>23</xdr:row>
      <xdr:rowOff>99060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81A1E5A3-297C-A271-0286-EC14E788415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632960" y="419100"/>
              <a:ext cx="1828800" cy="388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160020</xdr:colOff>
      <xdr:row>1</xdr:row>
      <xdr:rowOff>68580</xdr:rowOff>
    </xdr:from>
    <xdr:to>
      <xdr:col>9</xdr:col>
      <xdr:colOff>281940</xdr:colOff>
      <xdr:row>6</xdr:row>
      <xdr:rowOff>30480</xdr:rowOff>
    </xdr:to>
    <xdr:sp macro="" textlink="">
      <xdr:nvSpPr>
        <xdr:cNvPr id="3" name="Rectangle: Rounded Corners 2">
          <a:extLst>
            <a:ext uri="{FF2B5EF4-FFF2-40B4-BE49-F238E27FC236}">
              <a16:creationId xmlns:a16="http://schemas.microsoft.com/office/drawing/2014/main" id="{371E9EE3-130F-6376-DCBE-6C924A3D1616}"/>
            </a:ext>
          </a:extLst>
        </xdr:cNvPr>
        <xdr:cNvSpPr/>
      </xdr:nvSpPr>
      <xdr:spPr>
        <a:xfrm>
          <a:off x="3817620" y="365760"/>
          <a:ext cx="195072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Total Revenue</a:t>
          </a:r>
          <a:br>
            <a:rPr lang="en-IN"/>
          </a:br>
          <a:r>
            <a:rPr lang="en-IN"/>
            <a:t>₹20,97,000</a:t>
          </a:r>
          <a:endParaRPr lang="en-IN" sz="1100"/>
        </a:p>
      </xdr:txBody>
    </xdr:sp>
    <xdr:clientData/>
  </xdr:twoCellAnchor>
  <xdr:twoCellAnchor>
    <xdr:from>
      <xdr:col>0</xdr:col>
      <xdr:colOff>0</xdr:colOff>
      <xdr:row>1</xdr:row>
      <xdr:rowOff>0</xdr:rowOff>
    </xdr:from>
    <xdr:to>
      <xdr:col>5</xdr:col>
      <xdr:colOff>525780</xdr:colOff>
      <xdr:row>11</xdr:row>
      <xdr:rowOff>83820</xdr:rowOff>
    </xdr:to>
    <xdr:graphicFrame macro="">
      <xdr:nvGraphicFramePr>
        <xdr:cNvPr id="4" name="Chart 3">
          <a:extLst>
            <a:ext uri="{FF2B5EF4-FFF2-40B4-BE49-F238E27FC236}">
              <a16:creationId xmlns:a16="http://schemas.microsoft.com/office/drawing/2014/main" id="{F9016D1C-01DE-4FAE-91C7-C1B60DAE1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160020</xdr:rowOff>
    </xdr:from>
    <xdr:to>
      <xdr:col>5</xdr:col>
      <xdr:colOff>594360</xdr:colOff>
      <xdr:row>24</xdr:row>
      <xdr:rowOff>129540</xdr:rowOff>
    </xdr:to>
    <xdr:graphicFrame macro="">
      <xdr:nvGraphicFramePr>
        <xdr:cNvPr id="5" name="Chart 4">
          <a:extLst>
            <a:ext uri="{FF2B5EF4-FFF2-40B4-BE49-F238E27FC236}">
              <a16:creationId xmlns:a16="http://schemas.microsoft.com/office/drawing/2014/main" id="{99459F18-2A0F-4AC3-8DA8-69867AB2C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571500</xdr:colOff>
      <xdr:row>13</xdr:row>
      <xdr:rowOff>0</xdr:rowOff>
    </xdr:from>
    <xdr:to>
      <xdr:col>9</xdr:col>
      <xdr:colOff>2247900</xdr:colOff>
      <xdr:row>25</xdr:row>
      <xdr:rowOff>0</xdr:rowOff>
    </xdr:to>
    <xdr:graphicFrame macro="">
      <xdr:nvGraphicFramePr>
        <xdr:cNvPr id="6" name="Chart 5">
          <a:extLst>
            <a:ext uri="{FF2B5EF4-FFF2-40B4-BE49-F238E27FC236}">
              <a16:creationId xmlns:a16="http://schemas.microsoft.com/office/drawing/2014/main" id="{86544AA0-B1FD-4CEC-A3DF-56E26540F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769620</xdr:colOff>
      <xdr:row>2</xdr:row>
      <xdr:rowOff>121920</xdr:rowOff>
    </xdr:from>
    <xdr:to>
      <xdr:col>13</xdr:col>
      <xdr:colOff>594360</xdr:colOff>
      <xdr:row>12</xdr:row>
      <xdr:rowOff>60960</xdr:rowOff>
    </xdr:to>
    <xdr:graphicFrame macro="">
      <xdr:nvGraphicFramePr>
        <xdr:cNvPr id="7" name="Chart 6">
          <a:extLst>
            <a:ext uri="{FF2B5EF4-FFF2-40B4-BE49-F238E27FC236}">
              <a16:creationId xmlns:a16="http://schemas.microsoft.com/office/drawing/2014/main" id="{BB6E76EF-7123-49FE-9DB0-3E5EC2360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1</xdr:row>
      <xdr:rowOff>0</xdr:rowOff>
    </xdr:from>
    <xdr:to>
      <xdr:col>18</xdr:col>
      <xdr:colOff>0</xdr:colOff>
      <xdr:row>22</xdr:row>
      <xdr:rowOff>45720</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C3212867-A46F-4182-B371-777CAAB88BB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993880" y="297180"/>
              <a:ext cx="1828800" cy="388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76200</xdr:colOff>
      <xdr:row>6</xdr:row>
      <xdr:rowOff>7620</xdr:rowOff>
    </xdr:from>
    <xdr:to>
      <xdr:col>13</xdr:col>
      <xdr:colOff>289560</xdr:colOff>
      <xdr:row>21</xdr:row>
      <xdr:rowOff>7620</xdr:rowOff>
    </xdr:to>
    <xdr:sp macro="" textlink="">
      <xdr:nvSpPr>
        <xdr:cNvPr id="2" name="Rectangle 1">
          <a:extLst>
            <a:ext uri="{FF2B5EF4-FFF2-40B4-BE49-F238E27FC236}">
              <a16:creationId xmlns:a16="http://schemas.microsoft.com/office/drawing/2014/main" id="{5AD8F8D0-63CC-4F8B-B455-8A4D4DACC163}"/>
            </a:ext>
          </a:extLst>
        </xdr:cNvPr>
        <xdr:cNvSpPr/>
      </xdr:nvSpPr>
      <xdr:spPr>
        <a:xfrm>
          <a:off x="3124200" y="1104900"/>
          <a:ext cx="5090160" cy="2743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latin typeface="Times New Roman" panose="02020603050405020304" pitchFamily="18" charset="0"/>
              <a:cs typeface="Times New Roman" panose="02020603050405020304" pitchFamily="18" charset="0"/>
            </a:rPr>
            <a:t>Prediction Statement</a:t>
          </a:r>
        </a:p>
        <a:p>
          <a:pPr algn="l"/>
          <a:endParaRPr lang="en-IN" sz="1100"/>
        </a:p>
        <a:p>
          <a:pPr algn="l"/>
          <a:r>
            <a:rPr lang="en-IN" sz="1600" b="1">
              <a:latin typeface="Times New Roman" panose="02020603050405020304" pitchFamily="18" charset="0"/>
              <a:cs typeface="Times New Roman" panose="02020603050405020304" pitchFamily="18" charset="0"/>
            </a:rPr>
            <a:t>Forecast analysis based on historical financial data</a:t>
          </a:r>
        </a:p>
        <a:p>
          <a:pPr algn="l"/>
          <a:r>
            <a:rPr lang="en-IN" sz="1600" b="1">
              <a:latin typeface="Times New Roman" panose="02020603050405020304" pitchFamily="18" charset="0"/>
              <a:cs typeface="Times New Roman" panose="02020603050405020304" pitchFamily="18" charset="0"/>
            </a:rPr>
            <a:t>suggests that </a:t>
          </a:r>
        </a:p>
        <a:p>
          <a:pPr algn="l"/>
          <a:r>
            <a:rPr lang="en-IN" sz="1600" b="1">
              <a:latin typeface="Times New Roman" panose="02020603050405020304" pitchFamily="18" charset="0"/>
              <a:cs typeface="Times New Roman" panose="02020603050405020304" pitchFamily="18" charset="0"/>
            </a:rPr>
            <a:t>the organization may continue to</a:t>
          </a:r>
        </a:p>
        <a:p>
          <a:pPr algn="l"/>
          <a:r>
            <a:rPr lang="en-IN" sz="1600" b="1">
              <a:latin typeface="Times New Roman" panose="02020603050405020304" pitchFamily="18" charset="0"/>
              <a:cs typeface="Times New Roman" panose="02020603050405020304" pitchFamily="18" charset="0"/>
            </a:rPr>
            <a:t>experience stable revenue growth and improved</a:t>
          </a:r>
        </a:p>
        <a:p>
          <a:pPr algn="l"/>
          <a:r>
            <a:rPr lang="en-IN" sz="1600" b="1">
              <a:latin typeface="Times New Roman" panose="02020603050405020304" pitchFamily="18" charset="0"/>
              <a:cs typeface="Times New Roman" panose="02020603050405020304" pitchFamily="18" charset="0"/>
            </a:rPr>
            <a:t>profit margins in future business periods....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TI" refreshedDate="46155.721867939814" createdVersion="8" refreshedVersion="8" minRefreshableVersion="3" recordCount="12" xr:uid="{F79DAE5D-4BA7-4F12-A809-EF1DC99319A3}">
  <cacheSource type="worksheet">
    <worksheetSource ref="A1:H13" sheet="Raw"/>
  </cacheSource>
  <cacheFields count="8">
    <cacheField name="Month" numFmtId="0">
      <sharedItems count="12">
        <s v="Jan"/>
        <s v="Feb"/>
        <s v="Mar"/>
        <s v="Apr"/>
        <s v="May"/>
        <s v="Jun"/>
        <s v="Jul"/>
        <s v="Aug"/>
        <s v="Sep"/>
        <s v="Oct"/>
        <s v="Nov"/>
        <s v="Dec"/>
      </sharedItems>
    </cacheField>
    <cacheField name="Revenue" numFmtId="0">
      <sharedItems containsSemiMixedTypes="0" containsString="0" containsNumber="1" containsInteger="1" minValue="120000" maxValue="240000"/>
    </cacheField>
    <cacheField name="Expenses" numFmtId="0">
      <sharedItems containsSemiMixedTypes="0" containsString="0" containsNumber="1" containsInteger="1" minValue="85000" maxValue="145000"/>
    </cacheField>
    <cacheField name="Profit" numFmtId="0">
      <sharedItems containsSemiMixedTypes="0" containsString="0" containsNumber="1" containsInteger="1" minValue="35000" maxValue="95000"/>
    </cacheField>
    <cacheField name="Marketing Expense" numFmtId="0">
      <sharedItems containsSemiMixedTypes="0" containsString="0" containsNumber="1" containsInteger="1" minValue="15000" maxValue="35000"/>
    </cacheField>
    <cacheField name="Salary Expense" numFmtId="0">
      <sharedItems containsSemiMixedTypes="0" containsString="0" containsNumber="1" containsInteger="1" minValue="50000" maxValue="70000"/>
    </cacheField>
    <cacheField name="Operational Expense" numFmtId="0">
      <sharedItems containsSemiMixedTypes="0" containsString="0" containsNumber="1" containsInteger="1" minValue="20000" maxValue="40000"/>
    </cacheField>
    <cacheField name="Profit Margin %" numFmtId="0">
      <sharedItems containsSemiMixedTypes="0" containsString="0" containsNumber="1" minValue="0.29166666666666669" maxValue="0.39583333333333331"/>
    </cacheField>
  </cacheFields>
  <extLst>
    <ext xmlns:x14="http://schemas.microsoft.com/office/spreadsheetml/2009/9/main" uri="{725AE2AE-9491-48be-B2B4-4EB974FC3084}">
      <x14:pivotCacheDefinition pivotCacheId="215067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20000"/>
    <n v="85000"/>
    <n v="35000"/>
    <n v="15000"/>
    <n v="50000"/>
    <n v="20000"/>
    <n v="0.29166666666666669"/>
  </r>
  <r>
    <x v="1"/>
    <n v="135000"/>
    <n v="92000"/>
    <n v="43000"/>
    <n v="18000"/>
    <n v="52000"/>
    <n v="22000"/>
    <n v="0.31851851851851853"/>
  </r>
  <r>
    <x v="2"/>
    <n v="150000"/>
    <n v="98000"/>
    <n v="52000"/>
    <n v="20000"/>
    <n v="55000"/>
    <n v="23000"/>
    <n v="0.34666666666666668"/>
  </r>
  <r>
    <x v="3"/>
    <n v="142000"/>
    <n v="95000"/>
    <n v="47000"/>
    <n v="17000"/>
    <n v="54000"/>
    <n v="24000"/>
    <n v="0.33098591549295775"/>
  </r>
  <r>
    <x v="4"/>
    <n v="160000"/>
    <n v="105000"/>
    <n v="55000"/>
    <n v="22000"/>
    <n v="58000"/>
    <n v="25000"/>
    <n v="0.34375"/>
  </r>
  <r>
    <x v="5"/>
    <n v="175000"/>
    <n v="112000"/>
    <n v="63000"/>
    <n v="25000"/>
    <n v="60000"/>
    <n v="27000"/>
    <n v="0.36"/>
  </r>
  <r>
    <x v="6"/>
    <n v="168000"/>
    <n v="110000"/>
    <n v="58000"/>
    <n v="23000"/>
    <n v="59000"/>
    <n v="28000"/>
    <n v="0.34523809523809523"/>
  </r>
  <r>
    <x v="7"/>
    <n v="182000"/>
    <n v="118000"/>
    <n v="64000"/>
    <n v="26000"/>
    <n v="61000"/>
    <n v="31000"/>
    <n v="0.35164835164835168"/>
  </r>
  <r>
    <x v="8"/>
    <n v="190000"/>
    <n v="121000"/>
    <n v="69000"/>
    <n v="27000"/>
    <n v="62000"/>
    <n v="32000"/>
    <n v="0.36315789473684212"/>
  </r>
  <r>
    <x v="9"/>
    <n v="210000"/>
    <n v="130000"/>
    <n v="80000"/>
    <n v="30000"/>
    <n v="65000"/>
    <n v="35000"/>
    <n v="0.38095238095238093"/>
  </r>
  <r>
    <x v="10"/>
    <n v="225000"/>
    <n v="138000"/>
    <n v="87000"/>
    <n v="32000"/>
    <n v="68000"/>
    <n v="38000"/>
    <n v="0.38666666666666666"/>
  </r>
  <r>
    <x v="11"/>
    <n v="240000"/>
    <n v="145000"/>
    <n v="95000"/>
    <n v="35000"/>
    <n v="70000"/>
    <n v="40000"/>
    <n v="0.395833333333333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12CD4-6F07-405A-BB1E-2A0BC2C8D65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pivotFields count="8">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Revenue" fld="1" baseField="0" baseItem="0"/>
    <dataField name="Sum of Expenses" fld="2" baseField="0" baseItem="0"/>
    <dataField name="Sum of Profi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A5B8E0E-845A-4313-A6F6-1B26D2D66DBF}" sourceName="Month">
  <pivotTables>
    <pivotTable tabId="3" name="PivotTable1"/>
  </pivotTables>
  <data>
    <tabular pivotCacheId="21506730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58CF5B3-C61E-4EDB-B2BB-1454C5828BCE}"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D90460D-4DCE-4147-B5A9-8FAE2D608CBF}" cache="Slicer_Month" caption="Month"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63174-015D-46F3-9BEE-F069E108AC48}">
  <dimension ref="A3:D16"/>
  <sheetViews>
    <sheetView workbookViewId="0">
      <selection activeCell="C22" sqref="C22"/>
    </sheetView>
  </sheetViews>
  <sheetFormatPr defaultRowHeight="14.4" x14ac:dyDescent="0.3"/>
  <cols>
    <col min="1" max="1" width="12.44140625" bestFit="1" customWidth="1"/>
    <col min="2" max="2" width="14.109375" bestFit="1" customWidth="1"/>
    <col min="3" max="3" width="14.88671875" bestFit="1" customWidth="1"/>
    <col min="4" max="4" width="11.5546875" bestFit="1" customWidth="1"/>
  </cols>
  <sheetData>
    <row r="3" spans="1:4" x14ac:dyDescent="0.3">
      <c r="A3" s="7" t="s">
        <v>26</v>
      </c>
      <c r="B3" t="s">
        <v>28</v>
      </c>
      <c r="C3" t="s">
        <v>29</v>
      </c>
      <c r="D3" t="s">
        <v>30</v>
      </c>
    </row>
    <row r="4" spans="1:4" x14ac:dyDescent="0.3">
      <c r="A4" s="8" t="s">
        <v>7</v>
      </c>
      <c r="B4">
        <v>120000</v>
      </c>
      <c r="C4">
        <v>85000</v>
      </c>
      <c r="D4">
        <v>35000</v>
      </c>
    </row>
    <row r="5" spans="1:4" x14ac:dyDescent="0.3">
      <c r="A5" s="8" t="s">
        <v>8</v>
      </c>
      <c r="B5">
        <v>135000</v>
      </c>
      <c r="C5">
        <v>92000</v>
      </c>
      <c r="D5">
        <v>43000</v>
      </c>
    </row>
    <row r="6" spans="1:4" x14ac:dyDescent="0.3">
      <c r="A6" s="8" t="s">
        <v>9</v>
      </c>
      <c r="B6">
        <v>150000</v>
      </c>
      <c r="C6">
        <v>98000</v>
      </c>
      <c r="D6">
        <v>52000</v>
      </c>
    </row>
    <row r="7" spans="1:4" x14ac:dyDescent="0.3">
      <c r="A7" s="8" t="s">
        <v>10</v>
      </c>
      <c r="B7">
        <v>142000</v>
      </c>
      <c r="C7">
        <v>95000</v>
      </c>
      <c r="D7">
        <v>47000</v>
      </c>
    </row>
    <row r="8" spans="1:4" x14ac:dyDescent="0.3">
      <c r="A8" s="8" t="s">
        <v>11</v>
      </c>
      <c r="B8">
        <v>160000</v>
      </c>
      <c r="C8">
        <v>105000</v>
      </c>
      <c r="D8">
        <v>55000</v>
      </c>
    </row>
    <row r="9" spans="1:4" x14ac:dyDescent="0.3">
      <c r="A9" s="8" t="s">
        <v>12</v>
      </c>
      <c r="B9">
        <v>175000</v>
      </c>
      <c r="C9">
        <v>112000</v>
      </c>
      <c r="D9">
        <v>63000</v>
      </c>
    </row>
    <row r="10" spans="1:4" x14ac:dyDescent="0.3">
      <c r="A10" s="8" t="s">
        <v>13</v>
      </c>
      <c r="B10">
        <v>168000</v>
      </c>
      <c r="C10">
        <v>110000</v>
      </c>
      <c r="D10">
        <v>58000</v>
      </c>
    </row>
    <row r="11" spans="1:4" x14ac:dyDescent="0.3">
      <c r="A11" s="8" t="s">
        <v>14</v>
      </c>
      <c r="B11">
        <v>182000</v>
      </c>
      <c r="C11">
        <v>118000</v>
      </c>
      <c r="D11">
        <v>64000</v>
      </c>
    </row>
    <row r="12" spans="1:4" x14ac:dyDescent="0.3">
      <c r="A12" s="8" t="s">
        <v>15</v>
      </c>
      <c r="B12">
        <v>190000</v>
      </c>
      <c r="C12">
        <v>121000</v>
      </c>
      <c r="D12">
        <v>69000</v>
      </c>
    </row>
    <row r="13" spans="1:4" x14ac:dyDescent="0.3">
      <c r="A13" s="8" t="s">
        <v>16</v>
      </c>
      <c r="B13">
        <v>210000</v>
      </c>
      <c r="C13">
        <v>130000</v>
      </c>
      <c r="D13">
        <v>80000</v>
      </c>
    </row>
    <row r="14" spans="1:4" x14ac:dyDescent="0.3">
      <c r="A14" s="8" t="s">
        <v>17</v>
      </c>
      <c r="B14">
        <v>225000</v>
      </c>
      <c r="C14">
        <v>138000</v>
      </c>
      <c r="D14">
        <v>87000</v>
      </c>
    </row>
    <row r="15" spans="1:4" x14ac:dyDescent="0.3">
      <c r="A15" s="8" t="s">
        <v>18</v>
      </c>
      <c r="B15">
        <v>240000</v>
      </c>
      <c r="C15">
        <v>145000</v>
      </c>
      <c r="D15">
        <v>95000</v>
      </c>
    </row>
    <row r="16" spans="1:4" x14ac:dyDescent="0.3">
      <c r="A16" s="8" t="s">
        <v>27</v>
      </c>
      <c r="B16">
        <v>2097000</v>
      </c>
      <c r="C16">
        <v>1349000</v>
      </c>
      <c r="D16">
        <v>748000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834A1-0FE9-41F6-90A6-55E86C1B2612}">
  <dimension ref="J1"/>
  <sheetViews>
    <sheetView tabSelected="1" workbookViewId="0">
      <selection activeCell="O16" sqref="O16"/>
    </sheetView>
  </sheetViews>
  <sheetFormatPr defaultRowHeight="14.4" x14ac:dyDescent="0.3"/>
  <cols>
    <col min="1" max="1" width="12.44140625" bestFit="1" customWidth="1"/>
    <col min="2" max="2" width="14.88671875" bestFit="1" customWidth="1"/>
    <col min="3" max="3" width="7.77734375" customWidth="1"/>
    <col min="4" max="4" width="11.5546875" bestFit="1" customWidth="1"/>
    <col min="10" max="10" width="39.33203125" customWidth="1"/>
  </cols>
  <sheetData>
    <row r="1" spans="10:10" ht="23.4" x14ac:dyDescent="0.45">
      <c r="J1" s="9" t="s">
        <v>31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66F3A-9DCF-4C47-BA19-6A98DB596F8A}">
  <dimension ref="A1:H22"/>
  <sheetViews>
    <sheetView workbookViewId="0">
      <selection sqref="A1:H13"/>
    </sheetView>
  </sheetViews>
  <sheetFormatPr defaultRowHeight="14.4" x14ac:dyDescent="0.3"/>
  <cols>
    <col min="2" max="2" width="14.109375" customWidth="1"/>
    <col min="3" max="3" width="12.33203125" customWidth="1"/>
    <col min="4" max="4" width="15.109375" customWidth="1"/>
    <col min="5" max="5" width="17.44140625" customWidth="1"/>
    <col min="6" max="6" width="16.109375" customWidth="1"/>
    <col min="7" max="7" width="17.88671875" customWidth="1"/>
    <col min="8" max="8" width="13.88671875" customWidth="1"/>
  </cols>
  <sheetData>
    <row r="1" spans="1:8" x14ac:dyDescent="0.3">
      <c r="A1" s="3" t="s">
        <v>0</v>
      </c>
      <c r="B1" s="3" t="s">
        <v>1</v>
      </c>
      <c r="C1" s="3" t="s">
        <v>2</v>
      </c>
      <c r="D1" s="3" t="s">
        <v>3</v>
      </c>
      <c r="E1" s="3" t="s">
        <v>4</v>
      </c>
      <c r="F1" s="3" t="s">
        <v>5</v>
      </c>
      <c r="G1" s="3" t="s">
        <v>6</v>
      </c>
      <c r="H1" t="s">
        <v>25</v>
      </c>
    </row>
    <row r="2" spans="1:8" x14ac:dyDescent="0.3">
      <c r="A2" s="2" t="s">
        <v>7</v>
      </c>
      <c r="B2" s="2">
        <v>120000</v>
      </c>
      <c r="C2" s="2">
        <v>85000</v>
      </c>
      <c r="D2" s="2">
        <v>35000</v>
      </c>
      <c r="E2" s="2">
        <v>15000</v>
      </c>
      <c r="F2" s="2">
        <v>50000</v>
      </c>
      <c r="G2" s="2">
        <v>20000</v>
      </c>
      <c r="H2">
        <f>D2/B2</f>
        <v>0.29166666666666669</v>
      </c>
    </row>
    <row r="3" spans="1:8" x14ac:dyDescent="0.3">
      <c r="A3" s="2" t="s">
        <v>8</v>
      </c>
      <c r="B3" s="2">
        <v>135000</v>
      </c>
      <c r="C3" s="2">
        <v>92000</v>
      </c>
      <c r="D3" s="2">
        <v>43000</v>
      </c>
      <c r="E3" s="2">
        <v>18000</v>
      </c>
      <c r="F3" s="2">
        <v>52000</v>
      </c>
      <c r="G3" s="2">
        <v>22000</v>
      </c>
      <c r="H3">
        <f t="shared" ref="H3:H13" si="0">D3/B3</f>
        <v>0.31851851851851853</v>
      </c>
    </row>
    <row r="4" spans="1:8" x14ac:dyDescent="0.3">
      <c r="A4" s="2" t="s">
        <v>9</v>
      </c>
      <c r="B4" s="2">
        <v>150000</v>
      </c>
      <c r="C4" s="2">
        <v>98000</v>
      </c>
      <c r="D4" s="2">
        <v>52000</v>
      </c>
      <c r="E4" s="2">
        <v>20000</v>
      </c>
      <c r="F4" s="2">
        <v>55000</v>
      </c>
      <c r="G4" s="2">
        <v>23000</v>
      </c>
      <c r="H4">
        <f t="shared" si="0"/>
        <v>0.34666666666666668</v>
      </c>
    </row>
    <row r="5" spans="1:8" x14ac:dyDescent="0.3">
      <c r="A5" s="2" t="s">
        <v>10</v>
      </c>
      <c r="B5" s="2">
        <v>142000</v>
      </c>
      <c r="C5" s="2">
        <v>95000</v>
      </c>
      <c r="D5" s="2">
        <v>47000</v>
      </c>
      <c r="E5" s="2">
        <v>17000</v>
      </c>
      <c r="F5" s="2">
        <v>54000</v>
      </c>
      <c r="G5" s="2">
        <v>24000</v>
      </c>
      <c r="H5">
        <f t="shared" si="0"/>
        <v>0.33098591549295775</v>
      </c>
    </row>
    <row r="6" spans="1:8" x14ac:dyDescent="0.3">
      <c r="A6" s="2" t="s">
        <v>11</v>
      </c>
      <c r="B6" s="2">
        <v>160000</v>
      </c>
      <c r="C6" s="2">
        <v>105000</v>
      </c>
      <c r="D6" s="2">
        <v>55000</v>
      </c>
      <c r="E6" s="2">
        <v>22000</v>
      </c>
      <c r="F6" s="2">
        <v>58000</v>
      </c>
      <c r="G6" s="2">
        <v>25000</v>
      </c>
      <c r="H6">
        <f t="shared" si="0"/>
        <v>0.34375</v>
      </c>
    </row>
    <row r="7" spans="1:8" x14ac:dyDescent="0.3">
      <c r="A7" s="2" t="s">
        <v>12</v>
      </c>
      <c r="B7" s="2">
        <v>175000</v>
      </c>
      <c r="C7" s="2">
        <v>112000</v>
      </c>
      <c r="D7" s="2">
        <v>63000</v>
      </c>
      <c r="E7" s="2">
        <v>25000</v>
      </c>
      <c r="F7" s="2">
        <v>60000</v>
      </c>
      <c r="G7" s="2">
        <v>27000</v>
      </c>
      <c r="H7">
        <f t="shared" si="0"/>
        <v>0.36</v>
      </c>
    </row>
    <row r="8" spans="1:8" x14ac:dyDescent="0.3">
      <c r="A8" s="2" t="s">
        <v>13</v>
      </c>
      <c r="B8" s="2">
        <v>168000</v>
      </c>
      <c r="C8" s="2">
        <v>110000</v>
      </c>
      <c r="D8" s="2">
        <v>58000</v>
      </c>
      <c r="E8" s="2">
        <v>23000</v>
      </c>
      <c r="F8" s="2">
        <v>59000</v>
      </c>
      <c r="G8" s="2">
        <v>28000</v>
      </c>
      <c r="H8">
        <f t="shared" si="0"/>
        <v>0.34523809523809523</v>
      </c>
    </row>
    <row r="9" spans="1:8" x14ac:dyDescent="0.3">
      <c r="A9" s="2" t="s">
        <v>14</v>
      </c>
      <c r="B9" s="2">
        <v>182000</v>
      </c>
      <c r="C9" s="2">
        <v>118000</v>
      </c>
      <c r="D9" s="2">
        <v>64000</v>
      </c>
      <c r="E9" s="2">
        <v>26000</v>
      </c>
      <c r="F9" s="2">
        <v>61000</v>
      </c>
      <c r="G9" s="2">
        <v>31000</v>
      </c>
      <c r="H9">
        <f t="shared" si="0"/>
        <v>0.35164835164835168</v>
      </c>
    </row>
    <row r="10" spans="1:8" x14ac:dyDescent="0.3">
      <c r="A10" s="2" t="s">
        <v>15</v>
      </c>
      <c r="B10" s="2">
        <v>190000</v>
      </c>
      <c r="C10" s="2">
        <v>121000</v>
      </c>
      <c r="D10" s="2">
        <v>69000</v>
      </c>
      <c r="E10" s="2">
        <v>27000</v>
      </c>
      <c r="F10" s="2">
        <v>62000</v>
      </c>
      <c r="G10" s="2">
        <v>32000</v>
      </c>
      <c r="H10">
        <f t="shared" si="0"/>
        <v>0.36315789473684212</v>
      </c>
    </row>
    <row r="11" spans="1:8" x14ac:dyDescent="0.3">
      <c r="A11" s="2" t="s">
        <v>16</v>
      </c>
      <c r="B11" s="2">
        <v>210000</v>
      </c>
      <c r="C11" s="2">
        <v>130000</v>
      </c>
      <c r="D11" s="2">
        <v>80000</v>
      </c>
      <c r="E11" s="2">
        <v>30000</v>
      </c>
      <c r="F11" s="2">
        <v>65000</v>
      </c>
      <c r="G11" s="2">
        <v>35000</v>
      </c>
      <c r="H11">
        <f t="shared" si="0"/>
        <v>0.38095238095238093</v>
      </c>
    </row>
    <row r="12" spans="1:8" x14ac:dyDescent="0.3">
      <c r="A12" s="2" t="s">
        <v>17</v>
      </c>
      <c r="B12" s="2">
        <v>225000</v>
      </c>
      <c r="C12" s="2">
        <v>138000</v>
      </c>
      <c r="D12" s="2">
        <v>87000</v>
      </c>
      <c r="E12" s="2">
        <v>32000</v>
      </c>
      <c r="F12" s="2">
        <v>68000</v>
      </c>
      <c r="G12" s="2">
        <v>38000</v>
      </c>
      <c r="H12">
        <f t="shared" si="0"/>
        <v>0.38666666666666666</v>
      </c>
    </row>
    <row r="13" spans="1:8" x14ac:dyDescent="0.3">
      <c r="A13" s="2" t="s">
        <v>18</v>
      </c>
      <c r="B13" s="2">
        <v>240000</v>
      </c>
      <c r="C13" s="2">
        <v>145000</v>
      </c>
      <c r="D13" s="2">
        <v>95000</v>
      </c>
      <c r="E13" s="2">
        <v>35000</v>
      </c>
      <c r="F13" s="2">
        <v>70000</v>
      </c>
      <c r="G13" s="2">
        <v>40000</v>
      </c>
      <c r="H13">
        <f t="shared" si="0"/>
        <v>0.39583333333333331</v>
      </c>
    </row>
    <row r="15" spans="1:8" x14ac:dyDescent="0.3">
      <c r="B15" s="3" t="s">
        <v>19</v>
      </c>
      <c r="C15" s="6" t="s">
        <v>20</v>
      </c>
      <c r="D15" s="3" t="s">
        <v>21</v>
      </c>
    </row>
    <row r="16" spans="1:8" x14ac:dyDescent="0.3">
      <c r="B16" s="2">
        <f>SUM(B2:B13)</f>
        <v>2097000</v>
      </c>
      <c r="C16" s="5">
        <f>SUM(C2:C13)</f>
        <v>1349000</v>
      </c>
      <c r="D16" s="2">
        <f>SUM(D2:D13)</f>
        <v>748000</v>
      </c>
    </row>
    <row r="17" spans="2:4" x14ac:dyDescent="0.3">
      <c r="B17" s="2"/>
      <c r="C17" s="4"/>
      <c r="D17" s="2"/>
    </row>
    <row r="18" spans="2:4" x14ac:dyDescent="0.3">
      <c r="B18" s="2" t="s">
        <v>23</v>
      </c>
      <c r="C18" s="4"/>
      <c r="D18" s="2" t="s">
        <v>22</v>
      </c>
    </row>
    <row r="19" spans="2:4" x14ac:dyDescent="0.3">
      <c r="B19" s="2">
        <f>MAX(B2:B13)</f>
        <v>240000</v>
      </c>
      <c r="C19" s="4"/>
      <c r="D19" s="2">
        <f>AVERAGE(D2:D13)</f>
        <v>62333.333333333336</v>
      </c>
    </row>
    <row r="20" spans="2:4" x14ac:dyDescent="0.3">
      <c r="B20" s="2"/>
      <c r="C20" s="4"/>
      <c r="D20" s="2"/>
    </row>
    <row r="21" spans="2:4" x14ac:dyDescent="0.3">
      <c r="B21" s="2"/>
      <c r="C21" s="4"/>
      <c r="D21" s="2" t="s">
        <v>24</v>
      </c>
    </row>
    <row r="22" spans="2:4" x14ac:dyDescent="0.3">
      <c r="B22" s="1"/>
      <c r="D22" s="1">
        <f>MIN(D2:D13)</f>
        <v>35000</v>
      </c>
    </row>
  </sheetData>
  <conditionalFormatting sqref="D1:D13">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149FE-F7E6-423D-9625-96CDFE9E0042}">
  <dimension ref="A1"/>
  <sheetViews>
    <sheetView workbookViewId="0">
      <selection activeCell="E15" sqref="E1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Pivote table </vt:lpstr>
      <vt:lpstr>Dashboards</vt:lpstr>
      <vt:lpstr>Raw</vt:lpstr>
      <vt:lpstr>Prediction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kalwaledhrti@gmail.com</dc:creator>
  <cp:lastModifiedBy>kalwaledhrti@gmail.com</cp:lastModifiedBy>
  <dcterms:created xsi:type="dcterms:W3CDTF">2026-05-13T10:23:14Z</dcterms:created>
  <dcterms:modified xsi:type="dcterms:W3CDTF">2026-05-14T07:40:37Z</dcterms:modified>
</cp:coreProperties>
</file>